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1"/>
  </bookViews>
  <sheets>
    <sheet name="Test Scenarios" sheetId="1" r:id="rId1"/>
    <sheet name="Test Execution Report" sheetId="2" r:id="rId2"/>
    <sheet name="Test Cases" sheetId="3" r:id="rId3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2" l="1"/>
  <c r="C15" i="2"/>
  <c r="C14" i="2"/>
  <c r="C13" i="2"/>
  <c r="C17" i="2" s="1"/>
  <c r="C12" i="2"/>
  <c r="C11" i="2"/>
</calcChain>
</file>

<file path=xl/sharedStrings.xml><?xml version="1.0" encoding="utf-8"?>
<sst xmlns="http://schemas.openxmlformats.org/spreadsheetml/2006/main" count="363" uniqueCount="208">
  <si>
    <t>TEST SCENARIOS - OpenEMR Patient Registration</t>
  </si>
  <si>
    <t>Scenario ID</t>
  </si>
  <si>
    <t>Feature ID (Ref)</t>
  </si>
  <si>
    <t>Scenario Description</t>
  </si>
  <si>
    <t>Priority</t>
  </si>
  <si>
    <t>SC_01</t>
  </si>
  <si>
    <t>FT_01</t>
  </si>
  <si>
    <t>Verify mandatory field validation on the Add New Patient form (First Name, Last Name, DOB, Sex)</t>
  </si>
  <si>
    <t>High</t>
  </si>
  <si>
    <t>SC_02</t>
  </si>
  <si>
    <t>FT_02</t>
  </si>
  <si>
    <t>Verify data format validation for DOB, phone number, and email fields</t>
  </si>
  <si>
    <t>SC_03</t>
  </si>
  <si>
    <t>FT_03</t>
  </si>
  <si>
    <t>Verify a new patient record can be saved successfully and data persists correctly</t>
  </si>
  <si>
    <t>SC_04</t>
  </si>
  <si>
    <t>FT_04</t>
  </si>
  <si>
    <t>Verify an existing patient record can be edited and updated</t>
  </si>
  <si>
    <t>Medium</t>
  </si>
  <si>
    <t>SC_05</t>
  </si>
  <si>
    <t>FT_05</t>
  </si>
  <si>
    <t>Verify Cancel discards unsaved registration data without creating a patient</t>
  </si>
  <si>
    <t>SC_06</t>
  </si>
  <si>
    <t>FT_06</t>
  </si>
  <si>
    <t>Verify a newly created patient can be located via Patient Search</t>
  </si>
  <si>
    <t>SC_07</t>
  </si>
  <si>
    <t>FT_07</t>
  </si>
  <si>
    <t>Verify UI/UX elements of the registration form (mandatory indicators, labels, layout)</t>
  </si>
  <si>
    <t>Low</t>
  </si>
  <si>
    <t>SC_08</t>
  </si>
  <si>
    <t>Verify negative/boundary scenarios (future DOB, special characters, max field length)</t>
  </si>
  <si>
    <t>TEST CASE EXECUTION REPORT</t>
  </si>
  <si>
    <t>Project / Module</t>
  </si>
  <si>
    <t>OpenEMR - Patient Registration</t>
  </si>
  <si>
    <t>Execution Cycle</t>
  </si>
  <si>
    <t>Cycle 1</t>
  </si>
  <si>
    <t>Executed By</t>
  </si>
  <si>
    <t>Anu Priya</t>
  </si>
  <si>
    <t>Execution Date</t>
  </si>
  <si>
    <t>20-Jun-2026</t>
  </si>
  <si>
    <t>Environment</t>
  </si>
  <si>
    <t>https://demo.openemr.io/openemr (Receptionist role), Chrome, Windows 11</t>
  </si>
  <si>
    <t>Execution Metrics</t>
  </si>
  <si>
    <t>Total Test Cases Planned</t>
  </si>
  <si>
    <t>Executed</t>
  </si>
  <si>
    <t>Passed</t>
  </si>
  <si>
    <t>Failed</t>
  </si>
  <si>
    <t>Blocked</t>
  </si>
  <si>
    <t>Not Run</t>
  </si>
  <si>
    <t>Pass % (of executed)</t>
  </si>
  <si>
    <t>Failed / Blocked Test Cases Summary</t>
  </si>
  <si>
    <t>TC ID</t>
  </si>
  <si>
    <t>Title</t>
  </si>
  <si>
    <t>Status</t>
  </si>
  <si>
    <t>Linked Defect</t>
  </si>
  <si>
    <t>TC_006</t>
  </si>
  <si>
    <t>Verify system rejects a future Date of Birth</t>
  </si>
  <si>
    <t>Fail</t>
  </si>
  <si>
    <t>BUG_03</t>
  </si>
  <si>
    <t>TC_008</t>
  </si>
  <si>
    <t>Verify phone number field rejects alphabetic characters</t>
  </si>
  <si>
    <t>BUG_04</t>
  </si>
  <si>
    <t>TC_009</t>
  </si>
  <si>
    <t>Verify Email field rejects an invalid email format</t>
  </si>
  <si>
    <t>TC_019</t>
  </si>
  <si>
    <t>Verify First Name field behavior with special characters/numbers</t>
  </si>
  <si>
    <t>TC_020</t>
  </si>
  <si>
    <t>Verify First Name field enforces a reasonable maximum character length</t>
  </si>
  <si>
    <t>N/A - deferred to Cycle 2</t>
  </si>
  <si>
    <t>Observations / Notes</t>
  </si>
  <si>
    <t>Mandatory field validation (First Name, Last Name, DOB, Sex) works correctly and consistently. However, format-level validation is weak: future DOB, alphabetic phone numbers, malformed emails, and special characters in First Name are all incorrectly accepted, posing a data quality risk for a healthcare record system. These 4 issues have been logged as defects (BUG_03 to BUG_06) for the next step.</t>
  </si>
  <si>
    <t>TEST CASES - OpenEMR Patient Registration</t>
  </si>
  <si>
    <t>Test Case Title</t>
  </si>
  <si>
    <t>Pre-Condition</t>
  </si>
  <si>
    <t>Test Steps</t>
  </si>
  <si>
    <t>Test Data</t>
  </si>
  <si>
    <t>Expected Result</t>
  </si>
  <si>
    <t>Actual Result</t>
  </si>
  <si>
    <t>Type</t>
  </si>
  <si>
    <t>Date</t>
  </si>
  <si>
    <t>Comments</t>
  </si>
  <si>
    <t>TC_001</t>
  </si>
  <si>
    <t>Verify form shows validation errors when submitted completely blank</t>
  </si>
  <si>
    <t>User is on Add New Patient form</t>
  </si>
  <si>
    <t>1. Leave all fields blank
2. Click Save/Create Patient</t>
  </si>
  <si>
    <t>All fields blank</t>
  </si>
  <si>
    <t>Form should not save; validation errors shown for mandatory fields (First Name, Last Name, DOB, Sex)</t>
  </si>
  <si>
    <t>Save was blocked; red inline messages appeared next to First Name, Last Name, DOB and Sex stating each is required.</t>
  </si>
  <si>
    <t>Pass</t>
  </si>
  <si>
    <t>Negative</t>
  </si>
  <si>
    <t>TC_002</t>
  </si>
  <si>
    <t>Verify validation error when First Name is left blank</t>
  </si>
  <si>
    <t>Other mandatory fields filled valid</t>
  </si>
  <si>
    <t>1. Leave First Name blank
2. Fill Last Name, DOB, Sex
3. Click Save</t>
  </si>
  <si>
    <t>Last Name: Sharma
DOB: 01/15/1990
Sex: Female</t>
  </si>
  <si>
    <t>Error indicating First Name is required; record not saved</t>
  </si>
  <si>
    <t>Save was blocked; inline error shown only under First Name field.</t>
  </si>
  <si>
    <t>TC_003</t>
  </si>
  <si>
    <t>Verify validation error when Last Name is left blank</t>
  </si>
  <si>
    <t>1. Fill First Name
2. Leave Last Name blank
3. Fill DOB, Sex
4. Click Save</t>
  </si>
  <si>
    <t>First Name: Anu</t>
  </si>
  <si>
    <t>Error indicating Last Name is required; record not saved</t>
  </si>
  <si>
    <t>Save was blocked; inline error shown only under Last Name field.</t>
  </si>
  <si>
    <t>TC_004</t>
  </si>
  <si>
    <t>Verify validation error when DOB is left blank</t>
  </si>
  <si>
    <t>1. Fill First Name, Last Name, Sex
2. Leave DOB blank
3. Click Save</t>
  </si>
  <si>
    <t>First Name: Anu, Last Name: Sharma, Sex: Female</t>
  </si>
  <si>
    <t>Error indicating DOB is required; record not saved</t>
  </si>
  <si>
    <t>Save was blocked; inline error shown under DOB field.</t>
  </si>
  <si>
    <t>TC_005</t>
  </si>
  <si>
    <t>Verify validation error when Sex is not selected</t>
  </si>
  <si>
    <t>1. Fill First Name, Last Name, DOB
2. Leave Sex unselected
3. Click Save</t>
  </si>
  <si>
    <t>First Name: Anu, Last Name: Sharma, DOB: 01/15/1990</t>
  </si>
  <si>
    <t>Error indicating Sex is required; record not saved</t>
  </si>
  <si>
    <t>Save was blocked; inline error shown under Sex field.</t>
  </si>
  <si>
    <t>1. Fill mandatory fields
2. Enter DOB as a future date
3. Click Save</t>
  </si>
  <si>
    <t>DOB: 01/15/2030</t>
  </si>
  <si>
    <t>Validation error indicating DOB cannot be in the future; record not saved</t>
  </si>
  <si>
    <t>Record saved successfully with a future DOB (01/15/2030); no validation error was triggered.</t>
  </si>
  <si>
    <t>Boundary</t>
  </si>
  <si>
    <t>Logged as BUG_03</t>
  </si>
  <si>
    <t>TC_007</t>
  </si>
  <si>
    <t>Verify DOB field rejects an invalid/malformed date entry</t>
  </si>
  <si>
    <t>1. Fill mandatory fields
2. Enter DOB in an invalid format (e.g. 13/45/2020)
3. Click Save</t>
  </si>
  <si>
    <t>DOB: 13/45/2020</t>
  </si>
  <si>
    <t>Validation error for invalid date; record not saved</t>
  </si>
  <si>
    <t>Date picker UI prevented entry of an invalid date like 13/45/2020; calendar widget restricts to valid calendar dates.</t>
  </si>
  <si>
    <t>1. Fill mandatory fields
2. Enter letters in Home Phone field
3. Click Save</t>
  </si>
  <si>
    <t>Phone: ABCDEFGHIJ</t>
  </si>
  <si>
    <t>Validation error or field blocks non-numeric input</t>
  </si>
  <si>
    <t>Letters were accepted in the Home Phone field and the record saved without any error.</t>
  </si>
  <si>
    <t>Logged as BUG_04</t>
  </si>
  <si>
    <t>1. Fill mandatory fields
2. Enter invalid email
3. Click Save</t>
  </si>
  <si>
    <t>Email: anupriya@@test</t>
  </si>
  <si>
    <t>Validation error for invalid email format; record not saved (or saved with warning, per design)</t>
  </si>
  <si>
    <t>Malformed email (anupriya@@test) was accepted and the record saved without any validation error.</t>
  </si>
  <si>
    <t>TC_010</t>
  </si>
  <si>
    <t>Verify a new patient saves successfully with all valid mandatory data</t>
  </si>
  <si>
    <t>1. Fill First Name, Last Name, DOB, Sex with valid data
2. Click Save</t>
  </si>
  <si>
    <t>First Name: Anu, Last Name: Sharma, DOB: 01/15/1990, Sex: Female</t>
  </si>
  <si>
    <t>Confirmation message shown; patient record created with a unique Patient ID</t>
  </si>
  <si>
    <t>Patient saved successfully; confirmation displayed with a generated Patient ID.</t>
  </si>
  <si>
    <t>Functional</t>
  </si>
  <si>
    <t>TC_011</t>
  </si>
  <si>
    <t>Verify saved patient data persists correctly when reopening the record</t>
  </si>
  <si>
    <t>A patient (e.g. TC_010 data) has been saved</t>
  </si>
  <si>
    <t>1. Navigate away from the patient record
2. Search and reopen the same patient
3. Verify all entered fields</t>
  </si>
  <si>
    <t>Patient created in TC_010</t>
  </si>
  <si>
    <t>All previously entered data displays exactly as entered, with no data loss/corruption</t>
  </si>
  <si>
    <t>Reopened the same patient; First Name, Last Name, DOB, Sex all displayed exactly as entered.</t>
  </si>
  <si>
    <t>TC_012</t>
  </si>
  <si>
    <t>Verify optional fields (Address, Phone, Email) save correctly when provided</t>
  </si>
  <si>
    <t>1. Fill mandatory fields
2. Fill Address, City, State, Zip, Phone, Email
3. Click Save
4. Reopen record</t>
  </si>
  <si>
    <t>Full valid demographic dataset</t>
  </si>
  <si>
    <t>All optional fields are saved and displayed correctly on reopening</t>
  </si>
  <si>
    <t>All optional fields (Address, City, State, Zip, Phone, Email) saved and displayed correctly on reopening.</t>
  </si>
  <si>
    <t>TC_013</t>
  </si>
  <si>
    <t>Verify an existing patient's phone number can be updated</t>
  </si>
  <si>
    <t>A patient record already exists</t>
  </si>
  <si>
    <t>1. Open existing patient record
2. Update Home Phone field
3. Click Save
4. Reopen record</t>
  </si>
  <si>
    <t>New phone: 9876543210</t>
  </si>
  <si>
    <t>Updated phone number is saved and reflected correctly on reopening</t>
  </si>
  <si>
    <t>Phone number updated and reflected correctly after reopening the record.</t>
  </si>
  <si>
    <t>TC_014</t>
  </si>
  <si>
    <t>Verify editing an existing patient still enforces mandatory field validation</t>
  </si>
  <si>
    <t>1. Open existing patient record
2. Clear the Last Name field
3. Click Save</t>
  </si>
  <si>
    <t>Last Name cleared</t>
  </si>
  <si>
    <t>Validation error shown; update is blocked until Last Name is re-entered</t>
  </si>
  <si>
    <t>Clearing Last Name on an existing record and saving triggered the same mandatory validation as new entry; update was blocked.</t>
  </si>
  <si>
    <t>TC_015</t>
  </si>
  <si>
    <t>Verify clicking Cancel on a partially filled form does not create a patient</t>
  </si>
  <si>
    <t>1. Fill First Name only
2. Click Cancel (without saving)
3. Search for that name in Patient List</t>
  </si>
  <si>
    <t>First Name: TempPatientX</t>
  </si>
  <si>
    <t>No patient record is created; search returns no result for that name</t>
  </si>
  <si>
    <t>Clicked Cancel after entering only First Name; searched for the name afterward and found no matching record.</t>
  </si>
  <si>
    <t>TC_016</t>
  </si>
  <si>
    <t>Verify a newly created patient can be found via Patient Search using exact name</t>
  </si>
  <si>
    <t>Patient created (e.g. TC_010)</t>
  </si>
  <si>
    <t>1. Go to Patient Search
2. Enter exact First Name + Last Name
3. Execute search</t>
  </si>
  <si>
    <t>Search: Anu Sharma</t>
  </si>
  <si>
    <t>Patient record appears correctly in the search results</t>
  </si>
  <si>
    <t>Searching by exact First + Last Name returned the correct patient in results.</t>
  </si>
  <si>
    <t>TC_017</t>
  </si>
  <si>
    <t>Verify Patient Search returns correct results using partial name match</t>
  </si>
  <si>
    <t>1. Go to Patient Search
2. Enter partial Last Name (e.g. first 3 letters)
3. Execute search</t>
  </si>
  <si>
    <t>Search: Sha</t>
  </si>
  <si>
    <t>All patients with matching partial name (including the test patient) are listed</t>
  </si>
  <si>
    <t>Searching with a partial Last Name (first 3 letters) returned the test patient along with other partial matches.</t>
  </si>
  <si>
    <t>TC_018</t>
  </si>
  <si>
    <t>Verify mandatory fields are visually indicated on the registration form</t>
  </si>
  <si>
    <t>1. Visually inspect the form
2. Identify markers (asterisk/color) next to mandatory fields</t>
  </si>
  <si>
    <t>N/A</t>
  </si>
  <si>
    <t>All mandatory fields (First Name, Last Name, DOB, Sex) have a clear, consistent visual indicator</t>
  </si>
  <si>
    <t>Mandatory fields (First Name, Last Name, DOB, Sex) are marked with a red asterisk consistently.</t>
  </si>
  <si>
    <t>UI</t>
  </si>
  <si>
    <t>1. Enter special characters/numbers in First Name (e.g. Anu123!@#)
2. Fill remaining mandatory fields
3. Click Save</t>
  </si>
  <si>
    <t>First Name: Anu123!@#</t>
  </si>
  <si>
    <t>System should reject or sanitize invalid characters in a name field (per design); should not silently corrupt data</t>
  </si>
  <si>
    <t>Special characters and numbers (Anu123!@#) were accepted in First Name without any sanitization or warning.</t>
  </si>
  <si>
    <t>1. Enter an unusually long string (200+ characters) in First Name
2. Fill remaining mandatory fields
3. Click Save</t>
  </si>
  <si>
    <t>First Name: 200-character string</t>
  </si>
  <si>
    <t>Field should truncate or reject input beyond the defined max length; no application error/crash</t>
  </si>
  <si>
    <t>Not executed in this cycle due to time constraints; deferred to Cycle 2.</t>
  </si>
  <si>
    <t>To be executed in retest cycle</t>
  </si>
  <si>
    <t>Logged as BUG_01</t>
  </si>
  <si>
    <t>Logged as BUG_02</t>
  </si>
  <si>
    <t>BUG_01</t>
  </si>
  <si>
    <t>BUG_02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</si>
</sst>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\%"/>
  </numFmts>
  <fonts count="5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1F4E7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Border="1" applyAlignment="1">
      <alignment vertical="top" wrapText="1"/>
    </xf>
    <xf numFmtId="0" fontId="0" fillId="0" borderId="0" xfId="0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1" fillId="0" borderId="0" xfId="0" applyFont="1"/>
    <xf numFmtId="0" fontId="4" fillId="0" borderId="0" xfId="0" applyFon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12" style="2" customWidth="1"/>
    <col min="2" max="2" width="14" style="2" customWidth="1"/>
    <col min="3" max="3" width="60" style="2" customWidth="1"/>
    <col min="4" max="4" width="12" style="2" customWidth="1"/>
  </cols>
  <sheetData>
    <row r="1" spans="1:4" ht="17.25" customHeight="1" x14ac:dyDescent="0.25">
      <c r="A1" s="3" t="s">
        <v>0</v>
      </c>
    </row>
    <row r="3" spans="1:4" ht="27.75" customHeight="1" x14ac:dyDescent="0.25">
      <c r="A3" s="4" t="s">
        <v>1</v>
      </c>
      <c r="B3" s="4" t="s">
        <v>2</v>
      </c>
      <c r="C3" s="4" t="s">
        <v>3</v>
      </c>
      <c r="D3" s="4" t="s">
        <v>4</v>
      </c>
    </row>
    <row r="4" spans="1:4" ht="45" customHeight="1" x14ac:dyDescent="0.25">
      <c r="A4" s="5" t="s">
        <v>5</v>
      </c>
      <c r="B4" s="5" t="s">
        <v>6</v>
      </c>
      <c r="C4" s="5" t="s">
        <v>7</v>
      </c>
      <c r="D4" s="5" t="s">
        <v>8</v>
      </c>
    </row>
    <row r="5" spans="1:4" ht="45" customHeight="1" x14ac:dyDescent="0.25">
      <c r="A5" s="5" t="s">
        <v>9</v>
      </c>
      <c r="B5" s="5" t="s">
        <v>10</v>
      </c>
      <c r="C5" s="5" t="s">
        <v>11</v>
      </c>
      <c r="D5" s="5" t="s">
        <v>8</v>
      </c>
    </row>
    <row r="6" spans="1:4" ht="45" customHeight="1" x14ac:dyDescent="0.25">
      <c r="A6" s="5" t="s">
        <v>12</v>
      </c>
      <c r="B6" s="5" t="s">
        <v>13</v>
      </c>
      <c r="C6" s="5" t="s">
        <v>14</v>
      </c>
      <c r="D6" s="5" t="s">
        <v>8</v>
      </c>
    </row>
    <row r="7" spans="1:4" ht="45" customHeight="1" x14ac:dyDescent="0.25">
      <c r="A7" s="5" t="s">
        <v>15</v>
      </c>
      <c r="B7" s="5" t="s">
        <v>16</v>
      </c>
      <c r="C7" s="5" t="s">
        <v>17</v>
      </c>
      <c r="D7" s="5" t="s">
        <v>18</v>
      </c>
    </row>
    <row r="8" spans="1:4" ht="45" customHeight="1" x14ac:dyDescent="0.25">
      <c r="A8" s="5" t="s">
        <v>19</v>
      </c>
      <c r="B8" s="5" t="s">
        <v>20</v>
      </c>
      <c r="C8" s="5" t="s">
        <v>21</v>
      </c>
      <c r="D8" s="5" t="s">
        <v>18</v>
      </c>
    </row>
    <row r="9" spans="1:4" ht="45" customHeight="1" x14ac:dyDescent="0.25">
      <c r="A9" s="5" t="s">
        <v>22</v>
      </c>
      <c r="B9" s="5" t="s">
        <v>23</v>
      </c>
      <c r="C9" s="5" t="s">
        <v>24</v>
      </c>
      <c r="D9" s="5" t="s">
        <v>18</v>
      </c>
    </row>
    <row r="10" spans="1:4" ht="45" customHeight="1" x14ac:dyDescent="0.25">
      <c r="A10" s="5" t="s">
        <v>25</v>
      </c>
      <c r="B10" s="5" t="s">
        <v>26</v>
      </c>
      <c r="C10" s="5" t="s">
        <v>27</v>
      </c>
      <c r="D10" s="5" t="s">
        <v>28</v>
      </c>
    </row>
    <row r="11" spans="1:4" ht="45" customHeight="1" x14ac:dyDescent="0.25">
      <c r="A11" s="5" t="s">
        <v>29</v>
      </c>
      <c r="B11" s="5" t="s">
        <v>10</v>
      </c>
      <c r="C11" s="5" t="s">
        <v>30</v>
      </c>
      <c r="D11" s="5" t="s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showGridLines="0" tabSelected="1" zoomScaleNormal="100" workbookViewId="0">
      <pane ySplit="3" topLeftCell="A4" activePane="bottomLeft" state="frozen"/>
      <selection pane="bottomLeft" activeCell="D25" sqref="D25"/>
    </sheetView>
  </sheetViews>
  <sheetFormatPr defaultColWidth="8.7109375" defaultRowHeight="15" x14ac:dyDescent="0.25"/>
  <cols>
    <col min="1" max="1" width="22" customWidth="1"/>
    <col min="2" max="2" width="45" customWidth="1"/>
    <col min="3" max="3" width="14" customWidth="1"/>
    <col min="4" max="4" width="22" customWidth="1"/>
  </cols>
  <sheetData>
    <row r="1" spans="1:3" ht="18" x14ac:dyDescent="0.25">
      <c r="A1" s="6" t="s">
        <v>31</v>
      </c>
    </row>
    <row r="3" spans="1:3" x14ac:dyDescent="0.25">
      <c r="A3" s="7" t="s">
        <v>32</v>
      </c>
      <c r="B3" s="8" t="s">
        <v>33</v>
      </c>
    </row>
    <row r="4" spans="1:3" x14ac:dyDescent="0.25">
      <c r="A4" s="7" t="s">
        <v>34</v>
      </c>
      <c r="B4" s="8" t="s">
        <v>35</v>
      </c>
    </row>
    <row r="5" spans="1:3" x14ac:dyDescent="0.25">
      <c r="A5" s="7" t="s">
        <v>36</v>
      </c>
      <c r="B5" s="8" t="s">
        <v>37</v>
      </c>
    </row>
    <row r="6" spans="1:3" x14ac:dyDescent="0.25">
      <c r="A6" s="7" t="s">
        <v>38</v>
      </c>
      <c r="B6" s="8" t="s">
        <v>39</v>
      </c>
    </row>
    <row r="7" spans="1:3" x14ac:dyDescent="0.25">
      <c r="A7" s="7" t="s">
        <v>40</v>
      </c>
      <c r="B7" s="8" t="s">
        <v>41</v>
      </c>
    </row>
    <row r="10" spans="1:3" x14ac:dyDescent="0.25">
      <c r="A10" s="7" t="s">
        <v>42</v>
      </c>
    </row>
    <row r="11" spans="1:3" x14ac:dyDescent="0.25">
      <c r="A11" s="8" t="s">
        <v>43</v>
      </c>
      <c r="C11" s="8">
        <f>COUNTA('Test Cases'!A4:A23)</f>
        <v>20</v>
      </c>
    </row>
    <row r="12" spans="1:3" x14ac:dyDescent="0.25">
      <c r="A12" s="8" t="s">
        <v>44</v>
      </c>
      <c r="C12" s="8">
        <f>COUNTIF('Test Cases'!I4:I23,"Pass")+COUNTIF('Test Cases'!I4:I23,"Fail")</f>
        <v>19</v>
      </c>
    </row>
    <row r="13" spans="1:3" x14ac:dyDescent="0.25">
      <c r="A13" s="8" t="s">
        <v>45</v>
      </c>
      <c r="C13" s="8">
        <f>COUNTIF('Test Cases'!I4:I23,"Pass")</f>
        <v>15</v>
      </c>
    </row>
    <row r="14" spans="1:3" x14ac:dyDescent="0.25">
      <c r="A14" s="8" t="s">
        <v>46</v>
      </c>
      <c r="C14" s="8">
        <f>COUNTIF('Test Cases'!I4:I23,"Fail")</f>
        <v>4</v>
      </c>
    </row>
    <row r="15" spans="1:3" x14ac:dyDescent="0.25">
      <c r="A15" s="8" t="s">
        <v>47</v>
      </c>
      <c r="C15" s="8">
        <f>COUNTIF('Test Cases'!I4:I23,"Blocked")</f>
        <v>1</v>
      </c>
    </row>
    <row r="16" spans="1:3" x14ac:dyDescent="0.25">
      <c r="A16" s="8" t="s">
        <v>48</v>
      </c>
      <c r="C16" s="8">
        <f>COUNTIF('Test Cases'!I4:I23,"Not Run")</f>
        <v>0</v>
      </c>
    </row>
    <row r="17" spans="1:4" x14ac:dyDescent="0.25">
      <c r="A17" s="8" t="s">
        <v>49</v>
      </c>
      <c r="C17" s="9">
        <f>IFERROR(C13/C12*100,0)</f>
        <v>78.94736842105263</v>
      </c>
    </row>
    <row r="20" spans="1:4" x14ac:dyDescent="0.25">
      <c r="A20" s="7" t="s">
        <v>50</v>
      </c>
    </row>
    <row r="21" spans="1:4" x14ac:dyDescent="0.25">
      <c r="A21" s="4" t="s">
        <v>51</v>
      </c>
      <c r="B21" s="4" t="s">
        <v>52</v>
      </c>
      <c r="C21" s="4" t="s">
        <v>53</v>
      </c>
      <c r="D21" s="4" t="s">
        <v>54</v>
      </c>
    </row>
    <row r="22" spans="1:4" x14ac:dyDescent="0.25">
      <c r="A22" s="5" t="s">
        <v>55</v>
      </c>
      <c r="B22" s="5" t="s">
        <v>56</v>
      </c>
      <c r="C22" s="5" t="s">
        <v>57</v>
      </c>
      <c r="D22" s="5" t="s">
        <v>206</v>
      </c>
    </row>
    <row r="23" spans="1:4" ht="25.5" x14ac:dyDescent="0.25">
      <c r="A23" s="5" t="s">
        <v>59</v>
      </c>
      <c r="B23" s="5" t="s">
        <v>60</v>
      </c>
      <c r="C23" s="5" t="s">
        <v>57</v>
      </c>
      <c r="D23" s="5" t="s">
        <v>207</v>
      </c>
    </row>
    <row r="24" spans="1:4" x14ac:dyDescent="0.25">
      <c r="A24" s="5" t="s">
        <v>62</v>
      </c>
      <c r="B24" s="5" t="s">
        <v>63</v>
      </c>
      <c r="C24" s="5" t="s">
        <v>57</v>
      </c>
      <c r="D24" s="5" t="s">
        <v>58</v>
      </c>
    </row>
    <row r="25" spans="1:4" ht="25.5" x14ac:dyDescent="0.25">
      <c r="A25" s="5" t="s">
        <v>64</v>
      </c>
      <c r="B25" s="5" t="s">
        <v>65</v>
      </c>
      <c r="C25" s="5" t="s">
        <v>57</v>
      </c>
      <c r="D25" s="5" t="s">
        <v>61</v>
      </c>
    </row>
    <row r="26" spans="1:4" ht="25.5" x14ac:dyDescent="0.25">
      <c r="A26" s="5" t="s">
        <v>66</v>
      </c>
      <c r="B26" s="5" t="s">
        <v>67</v>
      </c>
      <c r="C26" s="5" t="s">
        <v>47</v>
      </c>
      <c r="D26" s="5" t="s">
        <v>68</v>
      </c>
    </row>
    <row r="29" spans="1:4" x14ac:dyDescent="0.25">
      <c r="A29" s="7" t="s">
        <v>69</v>
      </c>
    </row>
    <row r="30" spans="1:4" ht="15" customHeight="1" x14ac:dyDescent="0.25">
      <c r="A30" s="1" t="s">
        <v>70</v>
      </c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</sheetData>
  <mergeCells count="1">
    <mergeCell ref="A30:D3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showGridLines="0" topLeftCell="B1" zoomScaleNormal="100" workbookViewId="0">
      <pane ySplit="3" topLeftCell="A16" activePane="bottomLeft" state="frozen"/>
      <selection pane="bottomLeft" activeCell="N22" sqref="N22"/>
    </sheetView>
  </sheetViews>
  <sheetFormatPr defaultColWidth="8.7109375" defaultRowHeight="15" x14ac:dyDescent="0.25"/>
  <cols>
    <col min="1" max="1" width="9" style="2" customWidth="1"/>
    <col min="2" max="2" width="12" style="2" customWidth="1"/>
    <col min="3" max="3" width="32" style="2" customWidth="1"/>
    <col min="4" max="4" width="22" style="2" customWidth="1"/>
    <col min="5" max="5" width="38" style="2" customWidth="1"/>
    <col min="6" max="6" width="24" style="2" customWidth="1"/>
    <col min="7" max="7" width="38" style="2" customWidth="1"/>
    <col min="8" max="8" width="24" style="2" customWidth="1"/>
    <col min="9" max="9" width="11" style="2" customWidth="1"/>
    <col min="10" max="10" width="10" style="2" customWidth="1"/>
    <col min="11" max="12" width="12" style="2" customWidth="1"/>
    <col min="13" max="13" width="10" style="2" customWidth="1"/>
    <col min="14" max="14" width="20" style="2" customWidth="1"/>
  </cols>
  <sheetData>
    <row r="1" spans="1:14" ht="17.25" customHeight="1" x14ac:dyDescent="0.25">
      <c r="A1" s="3" t="s">
        <v>71</v>
      </c>
    </row>
    <row r="3" spans="1:14" ht="27.75" customHeight="1" x14ac:dyDescent="0.25">
      <c r="A3" s="4" t="s">
        <v>51</v>
      </c>
      <c r="B3" s="4" t="s">
        <v>1</v>
      </c>
      <c r="C3" s="4" t="s">
        <v>72</v>
      </c>
      <c r="D3" s="4" t="s">
        <v>73</v>
      </c>
      <c r="E3" s="4" t="s">
        <v>74</v>
      </c>
      <c r="F3" s="4" t="s">
        <v>75</v>
      </c>
      <c r="G3" s="4" t="s">
        <v>76</v>
      </c>
      <c r="H3" s="4" t="s">
        <v>77</v>
      </c>
      <c r="I3" s="4" t="s">
        <v>53</v>
      </c>
      <c r="J3" s="4" t="s">
        <v>4</v>
      </c>
      <c r="K3" s="4" t="s">
        <v>78</v>
      </c>
      <c r="L3" s="4" t="s">
        <v>36</v>
      </c>
      <c r="M3" s="4" t="s">
        <v>79</v>
      </c>
      <c r="N3" s="4" t="s">
        <v>80</v>
      </c>
    </row>
    <row r="4" spans="1:14" ht="45" customHeight="1" x14ac:dyDescent="0.25">
      <c r="A4" s="5" t="s">
        <v>81</v>
      </c>
      <c r="B4" s="5" t="s">
        <v>5</v>
      </c>
      <c r="C4" s="5" t="s">
        <v>82</v>
      </c>
      <c r="D4" s="5" t="s">
        <v>83</v>
      </c>
      <c r="E4" s="5" t="s">
        <v>84</v>
      </c>
      <c r="F4" s="5" t="s">
        <v>85</v>
      </c>
      <c r="G4" s="5" t="s">
        <v>86</v>
      </c>
      <c r="H4" s="5" t="s">
        <v>87</v>
      </c>
      <c r="I4" s="5" t="s">
        <v>88</v>
      </c>
      <c r="J4" s="5" t="s">
        <v>8</v>
      </c>
      <c r="K4" s="5" t="s">
        <v>89</v>
      </c>
      <c r="L4" s="5" t="s">
        <v>37</v>
      </c>
      <c r="M4" s="5" t="s">
        <v>39</v>
      </c>
      <c r="N4" s="5"/>
    </row>
    <row r="5" spans="1:14" ht="45" customHeight="1" x14ac:dyDescent="0.25">
      <c r="A5" s="5" t="s">
        <v>90</v>
      </c>
      <c r="B5" s="5" t="s">
        <v>5</v>
      </c>
      <c r="C5" s="5" t="s">
        <v>91</v>
      </c>
      <c r="D5" s="5" t="s">
        <v>92</v>
      </c>
      <c r="E5" s="5" t="s">
        <v>93</v>
      </c>
      <c r="F5" s="5" t="s">
        <v>94</v>
      </c>
      <c r="G5" s="5" t="s">
        <v>95</v>
      </c>
      <c r="H5" s="5" t="s">
        <v>96</v>
      </c>
      <c r="I5" s="5" t="s">
        <v>88</v>
      </c>
      <c r="J5" s="5" t="s">
        <v>8</v>
      </c>
      <c r="K5" s="5" t="s">
        <v>89</v>
      </c>
      <c r="L5" s="5" t="s">
        <v>37</v>
      </c>
      <c r="M5" s="5" t="s">
        <v>39</v>
      </c>
      <c r="N5" s="5"/>
    </row>
    <row r="6" spans="1:14" ht="45" customHeight="1" x14ac:dyDescent="0.25">
      <c r="A6" s="5" t="s">
        <v>97</v>
      </c>
      <c r="B6" s="5" t="s">
        <v>5</v>
      </c>
      <c r="C6" s="5" t="s">
        <v>98</v>
      </c>
      <c r="D6" s="5" t="s">
        <v>92</v>
      </c>
      <c r="E6" s="5" t="s">
        <v>99</v>
      </c>
      <c r="F6" s="5" t="s">
        <v>100</v>
      </c>
      <c r="G6" s="5" t="s">
        <v>101</v>
      </c>
      <c r="H6" s="5" t="s">
        <v>102</v>
      </c>
      <c r="I6" s="5" t="s">
        <v>88</v>
      </c>
      <c r="J6" s="5" t="s">
        <v>8</v>
      </c>
      <c r="K6" s="5" t="s">
        <v>89</v>
      </c>
      <c r="L6" s="5" t="s">
        <v>37</v>
      </c>
      <c r="M6" s="5" t="s">
        <v>39</v>
      </c>
      <c r="N6" s="5"/>
    </row>
    <row r="7" spans="1:14" ht="45" customHeight="1" x14ac:dyDescent="0.25">
      <c r="A7" s="5" t="s">
        <v>103</v>
      </c>
      <c r="B7" s="5" t="s">
        <v>5</v>
      </c>
      <c r="C7" s="5" t="s">
        <v>104</v>
      </c>
      <c r="D7" s="5" t="s">
        <v>92</v>
      </c>
      <c r="E7" s="5" t="s">
        <v>105</v>
      </c>
      <c r="F7" s="5" t="s">
        <v>106</v>
      </c>
      <c r="G7" s="5" t="s">
        <v>107</v>
      </c>
      <c r="H7" s="5" t="s">
        <v>108</v>
      </c>
      <c r="I7" s="5" t="s">
        <v>88</v>
      </c>
      <c r="J7" s="5" t="s">
        <v>8</v>
      </c>
      <c r="K7" s="5" t="s">
        <v>89</v>
      </c>
      <c r="L7" s="5" t="s">
        <v>37</v>
      </c>
      <c r="M7" s="5" t="s">
        <v>39</v>
      </c>
      <c r="N7" s="5"/>
    </row>
    <row r="8" spans="1:14" ht="45" customHeight="1" x14ac:dyDescent="0.25">
      <c r="A8" s="5" t="s">
        <v>109</v>
      </c>
      <c r="B8" s="5" t="s">
        <v>5</v>
      </c>
      <c r="C8" s="5" t="s">
        <v>110</v>
      </c>
      <c r="D8" s="5" t="s">
        <v>92</v>
      </c>
      <c r="E8" s="5" t="s">
        <v>111</v>
      </c>
      <c r="F8" s="5" t="s">
        <v>112</v>
      </c>
      <c r="G8" s="5" t="s">
        <v>113</v>
      </c>
      <c r="H8" s="5" t="s">
        <v>114</v>
      </c>
      <c r="I8" s="5" t="s">
        <v>88</v>
      </c>
      <c r="J8" s="5" t="s">
        <v>18</v>
      </c>
      <c r="K8" s="5" t="s">
        <v>89</v>
      </c>
      <c r="L8" s="5" t="s">
        <v>37</v>
      </c>
      <c r="M8" s="5" t="s">
        <v>39</v>
      </c>
      <c r="N8" s="5"/>
    </row>
    <row r="9" spans="1:14" ht="45" customHeight="1" x14ac:dyDescent="0.25">
      <c r="A9" s="5" t="s">
        <v>55</v>
      </c>
      <c r="B9" s="5" t="s">
        <v>9</v>
      </c>
      <c r="C9" s="5" t="s">
        <v>56</v>
      </c>
      <c r="D9" s="5" t="s">
        <v>83</v>
      </c>
      <c r="E9" s="5" t="s">
        <v>115</v>
      </c>
      <c r="F9" s="5" t="s">
        <v>116</v>
      </c>
      <c r="G9" s="5" t="s">
        <v>117</v>
      </c>
      <c r="H9" s="5" t="s">
        <v>118</v>
      </c>
      <c r="I9" s="5" t="s">
        <v>57</v>
      </c>
      <c r="J9" s="5" t="s">
        <v>8</v>
      </c>
      <c r="K9" s="5" t="s">
        <v>119</v>
      </c>
      <c r="L9" s="5" t="s">
        <v>37</v>
      </c>
      <c r="M9" s="5" t="s">
        <v>39</v>
      </c>
      <c r="N9" s="5" t="s">
        <v>204</v>
      </c>
    </row>
    <row r="10" spans="1:14" ht="45" customHeight="1" x14ac:dyDescent="0.25">
      <c r="A10" s="5" t="s">
        <v>121</v>
      </c>
      <c r="B10" s="5" t="s">
        <v>9</v>
      </c>
      <c r="C10" s="5" t="s">
        <v>122</v>
      </c>
      <c r="D10" s="5" t="s">
        <v>83</v>
      </c>
      <c r="E10" s="5" t="s">
        <v>123</v>
      </c>
      <c r="F10" s="5" t="s">
        <v>124</v>
      </c>
      <c r="G10" s="5" t="s">
        <v>125</v>
      </c>
      <c r="H10" s="5" t="s">
        <v>126</v>
      </c>
      <c r="I10" s="5" t="s">
        <v>88</v>
      </c>
      <c r="J10" s="5" t="s">
        <v>18</v>
      </c>
      <c r="K10" s="5" t="s">
        <v>89</v>
      </c>
      <c r="L10" s="5" t="s">
        <v>37</v>
      </c>
      <c r="M10" s="5" t="s">
        <v>39</v>
      </c>
      <c r="N10" s="5"/>
    </row>
    <row r="11" spans="1:14" ht="45" customHeight="1" x14ac:dyDescent="0.25">
      <c r="A11" s="5" t="s">
        <v>59</v>
      </c>
      <c r="B11" s="5" t="s">
        <v>9</v>
      </c>
      <c r="C11" s="5" t="s">
        <v>60</v>
      </c>
      <c r="D11" s="5" t="s">
        <v>83</v>
      </c>
      <c r="E11" s="5" t="s">
        <v>127</v>
      </c>
      <c r="F11" s="5" t="s">
        <v>128</v>
      </c>
      <c r="G11" s="5" t="s">
        <v>129</v>
      </c>
      <c r="H11" s="5" t="s">
        <v>130</v>
      </c>
      <c r="I11" s="5" t="s">
        <v>57</v>
      </c>
      <c r="J11" s="5" t="s">
        <v>18</v>
      </c>
      <c r="K11" s="5" t="s">
        <v>89</v>
      </c>
      <c r="L11" s="5" t="s">
        <v>37</v>
      </c>
      <c r="M11" s="5" t="s">
        <v>39</v>
      </c>
      <c r="N11" s="5" t="s">
        <v>205</v>
      </c>
    </row>
    <row r="12" spans="1:14" ht="45" customHeight="1" x14ac:dyDescent="0.25">
      <c r="A12" s="5" t="s">
        <v>62</v>
      </c>
      <c r="B12" s="5" t="s">
        <v>9</v>
      </c>
      <c r="C12" s="5" t="s">
        <v>63</v>
      </c>
      <c r="D12" s="5" t="s">
        <v>83</v>
      </c>
      <c r="E12" s="5" t="s">
        <v>132</v>
      </c>
      <c r="F12" s="5" t="s">
        <v>133</v>
      </c>
      <c r="G12" s="5" t="s">
        <v>134</v>
      </c>
      <c r="H12" s="5" t="s">
        <v>135</v>
      </c>
      <c r="I12" s="5" t="s">
        <v>57</v>
      </c>
      <c r="J12" s="5" t="s">
        <v>18</v>
      </c>
      <c r="K12" s="5" t="s">
        <v>89</v>
      </c>
      <c r="L12" s="5" t="s">
        <v>37</v>
      </c>
      <c r="M12" s="5" t="s">
        <v>39</v>
      </c>
      <c r="N12" s="5" t="s">
        <v>120</v>
      </c>
    </row>
    <row r="13" spans="1:14" ht="45" customHeight="1" x14ac:dyDescent="0.25">
      <c r="A13" s="5" t="s">
        <v>136</v>
      </c>
      <c r="B13" s="5" t="s">
        <v>12</v>
      </c>
      <c r="C13" s="5" t="s">
        <v>137</v>
      </c>
      <c r="D13" s="5" t="s">
        <v>83</v>
      </c>
      <c r="E13" s="5" t="s">
        <v>138</v>
      </c>
      <c r="F13" s="5" t="s">
        <v>139</v>
      </c>
      <c r="G13" s="5" t="s">
        <v>140</v>
      </c>
      <c r="H13" s="5" t="s">
        <v>141</v>
      </c>
      <c r="I13" s="5" t="s">
        <v>88</v>
      </c>
      <c r="J13" s="5" t="s">
        <v>8</v>
      </c>
      <c r="K13" s="5" t="s">
        <v>142</v>
      </c>
      <c r="L13" s="5" t="s">
        <v>37</v>
      </c>
      <c r="M13" s="5" t="s">
        <v>39</v>
      </c>
      <c r="N13" s="5"/>
    </row>
    <row r="14" spans="1:14" ht="45" customHeight="1" x14ac:dyDescent="0.25">
      <c r="A14" s="5" t="s">
        <v>143</v>
      </c>
      <c r="B14" s="5" t="s">
        <v>12</v>
      </c>
      <c r="C14" s="5" t="s">
        <v>144</v>
      </c>
      <c r="D14" s="5" t="s">
        <v>145</v>
      </c>
      <c r="E14" s="5" t="s">
        <v>146</v>
      </c>
      <c r="F14" s="5" t="s">
        <v>147</v>
      </c>
      <c r="G14" s="5" t="s">
        <v>148</v>
      </c>
      <c r="H14" s="5" t="s">
        <v>149</v>
      </c>
      <c r="I14" s="5" t="s">
        <v>88</v>
      </c>
      <c r="J14" s="5" t="s">
        <v>8</v>
      </c>
      <c r="K14" s="5" t="s">
        <v>142</v>
      </c>
      <c r="L14" s="5" t="s">
        <v>37</v>
      </c>
      <c r="M14" s="5" t="s">
        <v>39</v>
      </c>
      <c r="N14" s="5"/>
    </row>
    <row r="15" spans="1:14" ht="45" customHeight="1" x14ac:dyDescent="0.25">
      <c r="A15" s="5" t="s">
        <v>150</v>
      </c>
      <c r="B15" s="5" t="s">
        <v>12</v>
      </c>
      <c r="C15" s="5" t="s">
        <v>151</v>
      </c>
      <c r="D15" s="5" t="s">
        <v>83</v>
      </c>
      <c r="E15" s="5" t="s">
        <v>152</v>
      </c>
      <c r="F15" s="5" t="s">
        <v>153</v>
      </c>
      <c r="G15" s="5" t="s">
        <v>154</v>
      </c>
      <c r="H15" s="5" t="s">
        <v>155</v>
      </c>
      <c r="I15" s="5" t="s">
        <v>88</v>
      </c>
      <c r="J15" s="5" t="s">
        <v>18</v>
      </c>
      <c r="K15" s="5" t="s">
        <v>142</v>
      </c>
      <c r="L15" s="5" t="s">
        <v>37</v>
      </c>
      <c r="M15" s="5" t="s">
        <v>39</v>
      </c>
      <c r="N15" s="5"/>
    </row>
    <row r="16" spans="1:14" ht="45" customHeight="1" x14ac:dyDescent="0.25">
      <c r="A16" s="5" t="s">
        <v>156</v>
      </c>
      <c r="B16" s="5" t="s">
        <v>15</v>
      </c>
      <c r="C16" s="5" t="s">
        <v>157</v>
      </c>
      <c r="D16" s="5" t="s">
        <v>158</v>
      </c>
      <c r="E16" s="5" t="s">
        <v>159</v>
      </c>
      <c r="F16" s="5" t="s">
        <v>160</v>
      </c>
      <c r="G16" s="5" t="s">
        <v>161</v>
      </c>
      <c r="H16" s="5" t="s">
        <v>162</v>
      </c>
      <c r="I16" s="5" t="s">
        <v>88</v>
      </c>
      <c r="J16" s="5" t="s">
        <v>18</v>
      </c>
      <c r="K16" s="5" t="s">
        <v>142</v>
      </c>
      <c r="L16" s="5" t="s">
        <v>37</v>
      </c>
      <c r="M16" s="5" t="s">
        <v>39</v>
      </c>
      <c r="N16" s="5"/>
    </row>
    <row r="17" spans="1:14" ht="45" customHeight="1" x14ac:dyDescent="0.25">
      <c r="A17" s="5" t="s">
        <v>163</v>
      </c>
      <c r="B17" s="5" t="s">
        <v>15</v>
      </c>
      <c r="C17" s="5" t="s">
        <v>164</v>
      </c>
      <c r="D17" s="5" t="s">
        <v>158</v>
      </c>
      <c r="E17" s="5" t="s">
        <v>165</v>
      </c>
      <c r="F17" s="5" t="s">
        <v>166</v>
      </c>
      <c r="G17" s="5" t="s">
        <v>167</v>
      </c>
      <c r="H17" s="5" t="s">
        <v>168</v>
      </c>
      <c r="I17" s="5" t="s">
        <v>88</v>
      </c>
      <c r="J17" s="5" t="s">
        <v>18</v>
      </c>
      <c r="K17" s="5" t="s">
        <v>89</v>
      </c>
      <c r="L17" s="5" t="s">
        <v>37</v>
      </c>
      <c r="M17" s="5" t="s">
        <v>39</v>
      </c>
      <c r="N17" s="5"/>
    </row>
    <row r="18" spans="1:14" ht="45" customHeight="1" x14ac:dyDescent="0.25">
      <c r="A18" s="5" t="s">
        <v>169</v>
      </c>
      <c r="B18" s="5" t="s">
        <v>19</v>
      </c>
      <c r="C18" s="5" t="s">
        <v>170</v>
      </c>
      <c r="D18" s="5" t="s">
        <v>83</v>
      </c>
      <c r="E18" s="5" t="s">
        <v>171</v>
      </c>
      <c r="F18" s="5" t="s">
        <v>172</v>
      </c>
      <c r="G18" s="5" t="s">
        <v>173</v>
      </c>
      <c r="H18" s="5" t="s">
        <v>174</v>
      </c>
      <c r="I18" s="5" t="s">
        <v>88</v>
      </c>
      <c r="J18" s="5" t="s">
        <v>18</v>
      </c>
      <c r="K18" s="5" t="s">
        <v>142</v>
      </c>
      <c r="L18" s="5" t="s">
        <v>37</v>
      </c>
      <c r="M18" s="5" t="s">
        <v>39</v>
      </c>
      <c r="N18" s="5"/>
    </row>
    <row r="19" spans="1:14" ht="45" customHeight="1" x14ac:dyDescent="0.25">
      <c r="A19" s="5" t="s">
        <v>175</v>
      </c>
      <c r="B19" s="5" t="s">
        <v>22</v>
      </c>
      <c r="C19" s="5" t="s">
        <v>176</v>
      </c>
      <c r="D19" s="5" t="s">
        <v>177</v>
      </c>
      <c r="E19" s="5" t="s">
        <v>178</v>
      </c>
      <c r="F19" s="5" t="s">
        <v>179</v>
      </c>
      <c r="G19" s="5" t="s">
        <v>180</v>
      </c>
      <c r="H19" s="5" t="s">
        <v>181</v>
      </c>
      <c r="I19" s="5" t="s">
        <v>88</v>
      </c>
      <c r="J19" s="5" t="s">
        <v>18</v>
      </c>
      <c r="K19" s="5" t="s">
        <v>142</v>
      </c>
      <c r="L19" s="5" t="s">
        <v>37</v>
      </c>
      <c r="M19" s="5" t="s">
        <v>39</v>
      </c>
      <c r="N19" s="5"/>
    </row>
    <row r="20" spans="1:14" ht="45" customHeight="1" x14ac:dyDescent="0.25">
      <c r="A20" s="5" t="s">
        <v>182</v>
      </c>
      <c r="B20" s="5" t="s">
        <v>22</v>
      </c>
      <c r="C20" s="5" t="s">
        <v>183</v>
      </c>
      <c r="D20" s="5" t="s">
        <v>177</v>
      </c>
      <c r="E20" s="5" t="s">
        <v>184</v>
      </c>
      <c r="F20" s="5" t="s">
        <v>185</v>
      </c>
      <c r="G20" s="5" t="s">
        <v>186</v>
      </c>
      <c r="H20" s="5" t="s">
        <v>187</v>
      </c>
      <c r="I20" s="5" t="s">
        <v>88</v>
      </c>
      <c r="J20" s="5" t="s">
        <v>28</v>
      </c>
      <c r="K20" s="5" t="s">
        <v>142</v>
      </c>
      <c r="L20" s="5" t="s">
        <v>37</v>
      </c>
      <c r="M20" s="5" t="s">
        <v>39</v>
      </c>
      <c r="N20" s="5"/>
    </row>
    <row r="21" spans="1:14" ht="45" customHeight="1" x14ac:dyDescent="0.25">
      <c r="A21" s="5" t="s">
        <v>188</v>
      </c>
      <c r="B21" s="5" t="s">
        <v>25</v>
      </c>
      <c r="C21" s="5" t="s">
        <v>189</v>
      </c>
      <c r="D21" s="5" t="s">
        <v>83</v>
      </c>
      <c r="E21" s="5" t="s">
        <v>190</v>
      </c>
      <c r="F21" s="5" t="s">
        <v>191</v>
      </c>
      <c r="G21" s="5" t="s">
        <v>192</v>
      </c>
      <c r="H21" s="5" t="s">
        <v>193</v>
      </c>
      <c r="I21" s="5" t="s">
        <v>88</v>
      </c>
      <c r="J21" s="5" t="s">
        <v>28</v>
      </c>
      <c r="K21" s="5" t="s">
        <v>194</v>
      </c>
      <c r="L21" s="5" t="s">
        <v>37</v>
      </c>
      <c r="M21" s="5" t="s">
        <v>39</v>
      </c>
      <c r="N21" s="5"/>
    </row>
    <row r="22" spans="1:14" ht="45" customHeight="1" x14ac:dyDescent="0.25">
      <c r="A22" s="5" t="s">
        <v>64</v>
      </c>
      <c r="B22" s="5" t="s">
        <v>29</v>
      </c>
      <c r="C22" s="5" t="s">
        <v>65</v>
      </c>
      <c r="D22" s="5" t="s">
        <v>83</v>
      </c>
      <c r="E22" s="5" t="s">
        <v>195</v>
      </c>
      <c r="F22" s="5" t="s">
        <v>196</v>
      </c>
      <c r="G22" s="5" t="s">
        <v>197</v>
      </c>
      <c r="H22" s="5" t="s">
        <v>198</v>
      </c>
      <c r="I22" s="5" t="s">
        <v>57</v>
      </c>
      <c r="J22" s="5" t="s">
        <v>18</v>
      </c>
      <c r="K22" s="5" t="s">
        <v>89</v>
      </c>
      <c r="L22" s="5" t="s">
        <v>37</v>
      </c>
      <c r="M22" s="5" t="s">
        <v>39</v>
      </c>
      <c r="N22" s="5" t="s">
        <v>131</v>
      </c>
    </row>
    <row r="23" spans="1:14" ht="45" customHeight="1" x14ac:dyDescent="0.25">
      <c r="A23" s="5" t="s">
        <v>66</v>
      </c>
      <c r="B23" s="5" t="s">
        <v>29</v>
      </c>
      <c r="C23" s="5" t="s">
        <v>67</v>
      </c>
      <c r="D23" s="5" t="s">
        <v>83</v>
      </c>
      <c r="E23" s="5" t="s">
        <v>199</v>
      </c>
      <c r="F23" s="5" t="s">
        <v>200</v>
      </c>
      <c r="G23" s="5" t="s">
        <v>201</v>
      </c>
      <c r="H23" s="5" t="s">
        <v>202</v>
      </c>
      <c r="I23" s="5" t="s">
        <v>47</v>
      </c>
      <c r="J23" s="5" t="s">
        <v>28</v>
      </c>
      <c r="K23" s="5" t="s">
        <v>119</v>
      </c>
      <c r="L23" s="5" t="s">
        <v>37</v>
      </c>
      <c r="M23" s="5" t="s">
        <v>39</v>
      </c>
      <c r="N23" s="5" t="s">
        <v>203</v>
      </c>
    </row>
  </sheetData>
  <dataValidations count="3">
    <dataValidation type="list" allowBlank="1" sqref="I4:I23">
      <formula1>"Pass,Fail,Blocked,Not Run"</formula1>
      <formula2>0</formula2>
    </dataValidation>
    <dataValidation type="list" allowBlank="1" sqref="J4:J23">
      <formula1>"High,Medium,Low"</formula1>
      <formula2>0</formula2>
    </dataValidation>
    <dataValidation type="list" allowBlank="1" sqref="K4:K23">
      <formula1>"Functional,UI,Negative,Boundary,Integration,Regression"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Scenarios</vt:lpstr>
      <vt:lpstr>Test Execution Report</vt:lpstr>
      <vt:lpstr>Test 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NAME</cp:lastModifiedBy>
  <cp:revision>0</cp:revision>
  <dcterms:created xsi:type="dcterms:W3CDTF">2026-06-20T06:32:20Z</dcterms:created>
  <dcterms:modified xsi:type="dcterms:W3CDTF">2026-06-20T06:42:16Z</dcterms:modified>
  <dc:language>en-US</dc:language>
</cp:coreProperties>
</file>